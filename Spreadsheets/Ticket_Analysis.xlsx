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ma Rai\OneDrive\Documents\Data_Analyst_Assignment\Spreadsheets\"/>
    </mc:Choice>
  </mc:AlternateContent>
  <xr:revisionPtr revIDLastSave="0" documentId="8_{95D255F2-BE00-45E1-95C1-45765FB850B3}" xr6:coauthVersionLast="47" xr6:coauthVersionMax="47" xr10:uidLastSave="{00000000-0000-0000-0000-000000000000}"/>
  <bookViews>
    <workbookView xWindow="-108" yWindow="-108" windowWidth="23256" windowHeight="12456" tabRatio="730" activeTab="1" xr2:uid="{2065646C-874D-45FA-80EC-A2F2100806BF}"/>
  </bookViews>
  <sheets>
    <sheet name="feedbacks" sheetId="2" r:id="rId1"/>
    <sheet name="tick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J2" i="1"/>
  <c r="G3" i="1"/>
  <c r="G4" i="1"/>
  <c r="G5" i="1"/>
  <c r="G2" i="1"/>
  <c r="F3" i="1"/>
  <c r="F4" i="1"/>
  <c r="F5" i="1"/>
  <c r="F2" i="1"/>
  <c r="D2" i="2"/>
  <c r="D3" i="2"/>
  <c r="D4" i="2"/>
</calcChain>
</file>

<file path=xl/sharedStrings.xml><?xml version="1.0" encoding="utf-8"?>
<sst xmlns="http://schemas.openxmlformats.org/spreadsheetml/2006/main" count="31" uniqueCount="22">
  <si>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</si>
  <si>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</si>
  <si>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</si>
  <si>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</si>
  <si>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</si>
  <si>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</si>
  <si>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</si>
  <si>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</si>
  <si>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</si>
  <si>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</si>
  <si>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cms-fal-092</t>
  </si>
  <si>
    <t>abc-123-def</t>
  </si>
  <si>
    <t>cms-abc-123</t>
  </si>
  <si>
    <t>xyz-789-ghi</t>
  </si>
  <si>
    <t>cms-xyz-789</t>
  </si>
  <si>
    <t>feedback_at</t>
  </si>
  <si>
    <t>feedback_rating</t>
  </si>
  <si>
    <t>ticket_created_at</t>
  </si>
  <si>
    <t>Same_Day</t>
  </si>
  <si>
    <t>Same_Hour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</si>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</sst>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\ 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70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98B9-D803-4349-B859-221A87A7803C}">
  <dimension ref="A1:D4"/>
  <sheetViews>
    <sheetView workbookViewId="0">
      <selection activeCell="E1" sqref="E1"/>
    </sheetView>
  </sheetViews>
  <sheetFormatPr defaultRowHeight="14.4"/>
  <cols>
    <col min="1" max="1" width="13.21875" customWidth="1"/>
    <col min="2" max="2" width="15.33203125" bestFit="1" customWidth="1"/>
    <col min="3" max="3" width="14.21875" customWidth="1"/>
    <col min="4" max="4" width="18.21875" customWidth="1"/>
  </cols>
  <sheetData>
    <row r="1" spans="1:4" ht="28.8">
      <c r="A1" s="5" t="s">
        <v>4</v>
      </c>
      <c r="B1" s="5" t="s">
        <v>15</v>
      </c>
      <c r="C1" s="5" t="s">
        <v>16</v>
      </c>
      <c r="D1" s="5" t="s">
        <v>17</v>
      </c>
    </row>
    <row r="2" spans="1:4" ht="22.2" customHeight="1">
      <c r="A2" s="3" t="s">
        <v>7</v>
      </c>
      <c r="B2" s="4">
        <v>44429.560277777775</v>
      </c>
      <c r="C2" s="3">
        <v>3</v>
      </c>
      <c r="D2" s="6">
        <f>INDEX(ticket!$B:$B,MATCH(A2,ticket!$E:$E,0))</f>
        <v>44427.698414351849</v>
      </c>
    </row>
    <row r="3" spans="1:4">
      <c r="A3" s="3" t="s">
        <v>10</v>
      </c>
      <c r="B3" s="4">
        <v>44430.416666666664</v>
      </c>
      <c r="C3" s="3">
        <v>5</v>
      </c>
      <c r="D3" s="6">
        <f>INDEX(ticket!$B:$B,MATCH(A3,ticket!$E:$E,0))</f>
        <v>44429.464837962965</v>
      </c>
    </row>
    <row r="4" spans="1:4">
      <c r="A4" s="3" t="s">
        <v>12</v>
      </c>
      <c r="B4" s="4">
        <v>44432.333333333336</v>
      </c>
      <c r="C4" s="3">
        <v>4</v>
      </c>
      <c r="D4" s="6">
        <f>INDEX(ticket!$B:$B,MATCH(A4,ticket!$E:$E,0))</f>
        <v>44431.375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B560-0921-4D0F-8983-5716FD1E658A}">
  <dimension ref="A1:K5"/>
  <sheetViews>
    <sheetView tabSelected="1" workbookViewId="0">
      <selection activeCell="J2" sqref="J2"/>
    </sheetView>
  </sheetViews>
  <sheetFormatPr defaultRowHeight="14.4"/>
  <cols>
    <col min="1" max="1" width="11.6640625" style="8" customWidth="1"/>
    <col min="2" max="2" width="18.33203125" style="8" customWidth="1"/>
    <col min="3" max="3" width="18.5546875" style="8" customWidth="1"/>
    <col min="4" max="4" width="15.6640625" style="8" customWidth="1"/>
    <col min="5" max="5" width="15" style="8" customWidth="1"/>
    <col min="6" max="6" width="14" style="10" customWidth="1"/>
    <col min="7" max="7" width="12.109375" style="8" customWidth="1"/>
    <col min="9" max="9" width="12" style="9" customWidth="1"/>
    <col min="10" max="10" width="15.77734375" style="9" customWidth="1"/>
    <col min="11" max="11" width="15.5546875" style="9" customWidth="1"/>
  </cols>
  <sheetData>
    <row r="1" spans="1:11" ht="23.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18</v>
      </c>
      <c r="G1" s="9" t="s">
        <v>19</v>
      </c>
      <c r="I1" s="9" t="s">
        <v>3</v>
      </c>
      <c r="J1" s="9" t="s">
        <v>20</v>
      </c>
      <c r="K1" s="9" t="s">
        <v>21</v>
      </c>
    </row>
    <row r="2" spans="1:11">
      <c r="A2" s="1" t="s">
        <v>5</v>
      </c>
      <c r="B2" s="7">
        <v>44427.698414351849</v>
      </c>
      <c r="C2" s="7">
        <v>44430.523287037038</v>
      </c>
      <c r="D2" s="1" t="s">
        <v>6</v>
      </c>
      <c r="E2" s="1" t="s">
        <v>7</v>
      </c>
      <c r="F2" s="10" t="str">
        <f>IF(INT(B2)=INT(C2),"Yes","No")</f>
        <v>No</v>
      </c>
      <c r="G2" s="8" t="str">
        <f>IF(AND(INT(B2)=INT(C2),HOUR(B2)=HOUR(C2)),"Yes","No")</f>
        <v>No</v>
      </c>
      <c r="I2" s="11" t="s">
        <v>6</v>
      </c>
      <c r="J2" s="12">
        <f>COUNTIFS($D$2:$D$5,I2,$F$2:$F$5,"Yes")</f>
        <v>1</v>
      </c>
      <c r="K2" s="12">
        <f>COUNTIFS($D$2:$D$5,I2,$G$2:$G$5,"Yes")</f>
        <v>1</v>
      </c>
    </row>
    <row r="3" spans="1:11">
      <c r="A3" s="1" t="s">
        <v>8</v>
      </c>
      <c r="B3" s="7">
        <v>44429.464837962965</v>
      </c>
      <c r="C3" s="7">
        <v>44429.717881944445</v>
      </c>
      <c r="D3" s="1" t="s">
        <v>9</v>
      </c>
      <c r="E3" s="1" t="s">
        <v>10</v>
      </c>
      <c r="F3" s="10" t="str">
        <f t="shared" ref="F3:F5" si="0">IF(INT(B3)=INT(C3),"Yes","No")</f>
        <v>Yes</v>
      </c>
      <c r="G3" s="8" t="str">
        <f t="shared" ref="G3:G5" si="1">IF(AND(INT(B3)=INT(C3),HOUR(B3)=HOUR(C3)),"Yes","No")</f>
        <v>No</v>
      </c>
      <c r="I3" s="12" t="s">
        <v>9</v>
      </c>
      <c r="J3" s="12">
        <f>COUNTIFS($D$2:$D$5,I3,$F$2:$F$5,"Yes")</f>
        <v>1</v>
      </c>
      <c r="K3" s="12">
        <f>COUNTIFS($D$2:$D$5,I3,$G$2:$G$5,"Yes")</f>
        <v>0</v>
      </c>
    </row>
    <row r="4" spans="1:11">
      <c r="A4" s="1" t="s">
        <v>11</v>
      </c>
      <c r="B4" s="7">
        <v>44431.375</v>
      </c>
      <c r="C4" s="7">
        <v>44431.40625</v>
      </c>
      <c r="D4" s="1" t="s">
        <v>6</v>
      </c>
      <c r="E4" s="1" t="s">
        <v>12</v>
      </c>
      <c r="F4" s="10" t="str">
        <f t="shared" si="0"/>
        <v>Yes</v>
      </c>
      <c r="G4" s="8" t="str">
        <f t="shared" si="1"/>
        <v>Yes</v>
      </c>
    </row>
    <row r="5" spans="1:11">
      <c r="A5" s="1" t="s">
        <v>13</v>
      </c>
      <c r="B5" s="7">
        <v>44432.583333333336</v>
      </c>
      <c r="C5" s="7">
        <v>44433.416666666664</v>
      </c>
      <c r="D5" s="1" t="s">
        <v>9</v>
      </c>
      <c r="E5" s="1" t="s">
        <v>14</v>
      </c>
      <c r="F5" s="10" t="str">
        <f t="shared" si="0"/>
        <v>No</v>
      </c>
      <c r="G5" s="8" t="str">
        <f t="shared" si="1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feedbacks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kushmarai1@outlook.com</dc:creator>
  <cp:lastModifiedBy>kushmarai1@outlook.com</cp:lastModifiedBy>
  <dcterms:created xsi:type="dcterms:W3CDTF">2026-04-08T20:13:45Z</dcterms:created>
  <dcterms:modified xsi:type="dcterms:W3CDTF">2026-04-08T21:24:44Z</dcterms:modified>
</cp:coreProperties>
</file>